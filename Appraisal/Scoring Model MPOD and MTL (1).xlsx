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71\Downloads\"/>
    </mc:Choice>
  </mc:AlternateContent>
  <bookViews>
    <workbookView xWindow="-120" yWindow="-120" windowWidth="20730" windowHeight="11160" firstSheet="1" activeTab="1"/>
  </bookViews>
  <sheets>
    <sheet name="Sheet1" sheetId="1" state="hidden" r:id="rId1"/>
    <sheet name="MPOD" sheetId="2" r:id="rId2"/>
    <sheet name="Sheet2" sheetId="9" state="hidden" r:id="rId3"/>
    <sheet name="Sheet3" sheetId="12" state="hidden" r:id="rId4"/>
  </sheets>
  <definedNames>
    <definedName name="_xlnm._FilterDatabase" localSheetId="0" hidden="1">Sheet1!$B$5:$G$19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2" l="1"/>
  <c r="C56" i="2" s="1"/>
  <c r="C54" i="2"/>
  <c r="C57" i="2" l="1"/>
  <c r="F19" i="1"/>
  <c r="F21" i="1" s="1"/>
</calcChain>
</file>

<file path=xl/sharedStrings.xml><?xml version="1.0" encoding="utf-8"?>
<sst xmlns="http://schemas.openxmlformats.org/spreadsheetml/2006/main" count="158" uniqueCount="114">
  <si>
    <t>Borrower's Name</t>
  </si>
  <si>
    <t>Address of Borrower</t>
  </si>
  <si>
    <t>Loan Type</t>
  </si>
  <si>
    <t>Score by Branch</t>
  </si>
  <si>
    <t>Validated Score</t>
  </si>
  <si>
    <t>Score</t>
  </si>
  <si>
    <t>Risk level</t>
  </si>
  <si>
    <t>Marks
Awarded</t>
  </si>
  <si>
    <t>Parameters</t>
  </si>
  <si>
    <t>Source of Income</t>
  </si>
  <si>
    <t>Low</t>
  </si>
  <si>
    <t>Loan Amount to Net Income</t>
  </si>
  <si>
    <t>High</t>
  </si>
  <si>
    <t>Track Record</t>
  </si>
  <si>
    <t>Lowest</t>
  </si>
  <si>
    <t>Exposure within BFI's</t>
  </si>
  <si>
    <t xml:space="preserve"> </t>
  </si>
  <si>
    <t>Overall Risk Level (out of 100)</t>
  </si>
  <si>
    <t>Graded Score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</si>
  <si>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</si>
  <si>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</si>
  <si>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25.09.2018</t>
  </si>
  <si>
    <t>SCORING  SUMMARY SHEET</t>
  </si>
  <si>
    <t>NOTE TO CCO</t>
  </si>
  <si>
    <t>Value Statement</t>
  </si>
  <si>
    <t>Other Income</t>
  </si>
  <si>
    <t>Collateral Coverage Ratio</t>
  </si>
  <si>
    <t>New Connection with satisfactory CIC</t>
  </si>
  <si>
    <t>Importance of the Collateral Security</t>
  </si>
  <si>
    <t>Age of the Borrower</t>
  </si>
  <si>
    <t>Sole Banking</t>
  </si>
  <si>
    <t>Multilple Banking</t>
  </si>
  <si>
    <t xml:space="preserve">Financial Arragement for retail loans </t>
  </si>
  <si>
    <t>Financial Arragement for Retail Loans</t>
  </si>
  <si>
    <t>Housing</t>
  </si>
  <si>
    <t>Education</t>
  </si>
  <si>
    <t>Bhu Puu</t>
  </si>
  <si>
    <t>Personal Loan</t>
  </si>
  <si>
    <t>Hire Puchase</t>
  </si>
  <si>
    <t>Min Marks Required</t>
  </si>
  <si>
    <t>Branch</t>
  </si>
  <si>
    <t>Remarks</t>
  </si>
  <si>
    <t>Total Scoring</t>
  </si>
  <si>
    <t>Minimum Score</t>
  </si>
  <si>
    <t>Uncommitted Monthly income below 1.33 Time of EMI (to be refused)</t>
  </si>
  <si>
    <t>Score Obtained</t>
  </si>
  <si>
    <t>Collateral Coverage Ratio by DV</t>
  </si>
  <si>
    <t>Collateral Coverage Ratio by FMV (as per NRB guidelines)</t>
  </si>
  <si>
    <t>FMV to Loan Limit below the ceiling prescribed by NRB (to be refused)</t>
  </si>
  <si>
    <t>Uncommitted Monthly income 1.33 Times or above  of EMI</t>
  </si>
  <si>
    <t>Uncommitted Monthly income 1.50 Times or above of EMI</t>
  </si>
  <si>
    <t>Uncommitted Monthly income 2.00 Times or above of EMI</t>
  </si>
  <si>
    <t>Credit Scoring</t>
  </si>
  <si>
    <t>Name:</t>
  </si>
  <si>
    <t>Branch:</t>
  </si>
  <si>
    <t>Business Income (Audited) of above 3 years/Salary of Government Employees/Salary from reputed organisations/pension with check off facility</t>
  </si>
  <si>
    <t>Business Income  of below 3 years/ Salary Income/ Vehicle Income/pension with out check off facility/Mixed income (Business/Rental/Salary/Vehicle)</t>
  </si>
  <si>
    <t>Residential Importance with motorable access</t>
  </si>
  <si>
    <t>Properties without motorable access (to be refused)</t>
  </si>
  <si>
    <t>Dealing with the Bank above 3 years with satisfactory conduct and satisfactory CIC</t>
  </si>
  <si>
    <t>Dealing with the Bank for 1-3 years with satisfactory conduct and satisfactory CIC</t>
  </si>
  <si>
    <t>3 years and above</t>
  </si>
  <si>
    <t>1 -3 years</t>
  </si>
  <si>
    <t>Length of Operation</t>
  </si>
  <si>
    <t>Sales trend</t>
  </si>
  <si>
    <t>Increasing</t>
  </si>
  <si>
    <t>Fluctuating</t>
  </si>
  <si>
    <t>Decreasing</t>
  </si>
  <si>
    <t>Collateral Importance</t>
  </si>
  <si>
    <t>Commercial</t>
  </si>
  <si>
    <t>Residential</t>
  </si>
  <si>
    <t>Without Motorable access</t>
  </si>
  <si>
    <t>Industrial</t>
  </si>
  <si>
    <t>Commerial cum residential</t>
  </si>
  <si>
    <t>Sole or Multiple Banking</t>
  </si>
  <si>
    <t>Sole</t>
  </si>
  <si>
    <t>Multiple</t>
  </si>
  <si>
    <t>Below 1 year</t>
  </si>
  <si>
    <t>Exposure within BEFs</t>
  </si>
  <si>
    <t>Within 10 million</t>
  </si>
  <si>
    <t>Above 10 Million</t>
  </si>
  <si>
    <t>Profitability Trend</t>
  </si>
  <si>
    <t>Loss Making</t>
  </si>
  <si>
    <t>Rating</t>
  </si>
  <si>
    <t>Ratio of Uncommitted Monthly Income To EMI</t>
  </si>
  <si>
    <t>Debt Service Coverage Ratios</t>
  </si>
  <si>
    <t>Gross DSCR throughout the repayment period is above 2.00</t>
  </si>
  <si>
    <t>Gross DSCR throughout the repayment period is above 1.75 but less than 2.00</t>
  </si>
  <si>
    <t>Gross DSCR throughout the repayment period is above 1.33 but less than 1.75</t>
  </si>
  <si>
    <t>Gross DSCR throughout the repayment period is less than 1.33</t>
  </si>
  <si>
    <t>Ratio of Gross Monthly Income to Debt Service less than prevailing NRB benchmark (to be refused)</t>
  </si>
  <si>
    <t>Commercial cum Residential Importance with motorable access</t>
  </si>
  <si>
    <t>EMI</t>
  </si>
  <si>
    <t>DSCR</t>
  </si>
  <si>
    <t>DV to Loan Limit (2.50 Times and above)</t>
  </si>
  <si>
    <t>DV to Loan Limit (2.00 Times and above)</t>
  </si>
  <si>
    <t>DV to Loan Limit (1.50 Times and above)</t>
  </si>
  <si>
    <t xml:space="preserve">Above 60 years with at-least one regular income earning co-borrower below 60 years </t>
  </si>
  <si>
    <t>DV to Loan Limit (Below 1.50 Times - To be refused)</t>
  </si>
  <si>
    <t>Frequently irregular/overdue/black listed (Existing blacklisted to be refused)</t>
  </si>
  <si>
    <t xml:space="preserve">Within 60 years (Both borrower &amp; Co-Borrower) </t>
  </si>
  <si>
    <t>Above 60 years (Both borrower &amp; Co-borrower) in case of renewals/enhancement</t>
  </si>
  <si>
    <t>Above 60 years (Both Borrower &amp; Co-borrower) for fresh loan (to be refused)</t>
  </si>
  <si>
    <t xml:space="preserve"> Mortgage Plus Overdraft and Mortgage Term Loan</t>
  </si>
  <si>
    <t>Commercial/Other Importance with motorable access</t>
  </si>
  <si>
    <t xml:space="preserve"> Gross Income  to Debt Service </t>
  </si>
  <si>
    <t>Gross Income to Debt Service Ratio more than 2.00 times</t>
  </si>
  <si>
    <t>Gross Income to Debt Service Ratio Less than 2.00 times (To be refused)</t>
  </si>
  <si>
    <t>Gross Income to Debt Service Ratio more than 2.50 times</t>
  </si>
  <si>
    <t>FMV to Loan Limit (2.00 Times and above)</t>
  </si>
  <si>
    <t xml:space="preserve">Within 25.00 Million </t>
  </si>
  <si>
    <t>Above 25.00 Million</t>
  </si>
  <si>
    <t>Mr. Ram Tahal Kewat, Mrs. Rambati Kapair and Mrs. Rinku Kumari Kapair</t>
  </si>
  <si>
    <t>Mirchaiya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</si>
</sst>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1" applyFont="1" applyFill="1" applyProtection="1">
      <protection locked="0" hidden="1"/>
    </xf>
    <xf numFmtId="14" fontId="2" fillId="2" borderId="0" xfId="1" applyNumberFormat="1" applyFont="1" applyFill="1" applyAlignment="1" applyProtection="1">
      <alignment horizontal="left" wrapText="1"/>
      <protection locked="0" hidden="1"/>
    </xf>
    <xf numFmtId="0" fontId="3" fillId="0" borderId="1" xfId="1" applyFont="1" applyBorder="1" applyAlignment="1" applyProtection="1">
      <alignment horizontal="center"/>
      <protection locked="0" hidden="1"/>
    </xf>
    <xf numFmtId="0" fontId="3" fillId="0" borderId="2" xfId="1" applyFont="1" applyBorder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4" fillId="2" borderId="0" xfId="1" applyFont="1" applyFill="1" applyProtection="1">
      <protection locked="0"/>
    </xf>
    <xf numFmtId="0" fontId="2" fillId="2" borderId="0" xfId="1" applyFont="1" applyFill="1" applyProtection="1">
      <protection locked="0"/>
    </xf>
    <xf numFmtId="0" fontId="3" fillId="2" borderId="0" xfId="1" applyFont="1" applyFill="1" applyAlignment="1" applyProtection="1">
      <alignment horizontal="center"/>
      <protection locked="0" hidden="1"/>
    </xf>
    <xf numFmtId="0" fontId="3" fillId="4" borderId="5" xfId="1" applyFont="1" applyFill="1" applyBorder="1" applyAlignment="1" applyProtection="1">
      <alignment horizontal="center" vertical="center"/>
      <protection locked="0" hidden="1"/>
    </xf>
    <xf numFmtId="0" fontId="3" fillId="4" borderId="5" xfId="1" applyFont="1" applyFill="1" applyBorder="1" applyAlignment="1" applyProtection="1">
      <alignment horizontal="center" vertical="center" wrapText="1"/>
      <protection locked="0" hidden="1"/>
    </xf>
    <xf numFmtId="0" fontId="2" fillId="0" borderId="5" xfId="1" applyFont="1" applyBorder="1" applyProtection="1">
      <protection locked="0" hidden="1"/>
    </xf>
    <xf numFmtId="0" fontId="2" fillId="3" borderId="5" xfId="1" applyFont="1" applyFill="1" applyBorder="1" applyAlignment="1" applyProtection="1">
      <alignment horizontal="center"/>
      <protection locked="0" hidden="1"/>
    </xf>
    <xf numFmtId="164" fontId="3" fillId="2" borderId="1" xfId="1" applyNumberFormat="1" applyFont="1" applyFill="1" applyBorder="1" applyProtection="1">
      <protection locked="0" hidden="1"/>
    </xf>
    <xf numFmtId="165" fontId="3" fillId="2" borderId="0" xfId="1" applyNumberFormat="1" applyFont="1" applyFill="1" applyAlignment="1" applyProtection="1">
      <alignment horizontal="center"/>
      <protection locked="0" hidden="1"/>
    </xf>
    <xf numFmtId="0" fontId="2" fillId="2" borderId="0" xfId="1" applyFont="1" applyFill="1"/>
    <xf numFmtId="0" fontId="2" fillId="0" borderId="0" xfId="1" applyFont="1"/>
    <xf numFmtId="0" fontId="6" fillId="2" borderId="0" xfId="0" applyFont="1" applyFill="1"/>
    <xf numFmtId="0" fontId="5" fillId="2" borderId="0" xfId="0" applyFont="1" applyFill="1"/>
    <xf numFmtId="0" fontId="6" fillId="5" borderId="9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9" xfId="0" applyFont="1" applyBorder="1"/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justify" wrapText="1"/>
    </xf>
    <xf numFmtId="0" fontId="6" fillId="5" borderId="13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0" xfId="0" applyFont="1" applyAlignment="1">
      <alignment horizontal="justify" wrapText="1"/>
    </xf>
    <xf numFmtId="0" fontId="5" fillId="0" borderId="0" xfId="0" applyFont="1" applyAlignment="1">
      <alignment horizontal="center" wrapText="1"/>
    </xf>
    <xf numFmtId="0" fontId="7" fillId="0" borderId="16" xfId="0" applyFont="1" applyBorder="1"/>
    <xf numFmtId="0" fontId="7" fillId="0" borderId="19" xfId="0" applyFont="1" applyBorder="1"/>
    <xf numFmtId="0" fontId="7" fillId="0" borderId="5" xfId="0" applyFont="1" applyBorder="1"/>
    <xf numFmtId="0" fontId="5" fillId="0" borderId="17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wrapText="1"/>
    </xf>
    <xf numFmtId="0" fontId="8" fillId="6" borderId="15" xfId="0" applyFont="1" applyFill="1" applyBorder="1" applyAlignment="1" applyProtection="1">
      <alignment horizontal="center" vertical="center"/>
      <protection locked="0"/>
    </xf>
    <xf numFmtId="0" fontId="8" fillId="6" borderId="18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/>
      <protection locked="0" hidden="1"/>
    </xf>
    <xf numFmtId="0" fontId="2" fillId="3" borderId="2" xfId="1" applyFont="1" applyFill="1" applyBorder="1" applyAlignment="1" applyProtection="1">
      <alignment horizontal="left"/>
      <protection locked="0" hidden="1"/>
    </xf>
    <xf numFmtId="0" fontId="2" fillId="3" borderId="3" xfId="1" applyFont="1" applyFill="1" applyBorder="1" applyAlignment="1" applyProtection="1">
      <alignment horizontal="left"/>
      <protection locked="0" hidden="1"/>
    </xf>
    <xf numFmtId="0" fontId="2" fillId="3" borderId="4" xfId="1" applyFont="1" applyFill="1" applyBorder="1" applyAlignment="1" applyProtection="1">
      <alignment horizontal="left"/>
      <protection locked="0" hidden="1"/>
    </xf>
    <xf numFmtId="0" fontId="2" fillId="0" borderId="6" xfId="1" applyFont="1" applyBorder="1" applyAlignment="1" applyProtection="1">
      <alignment horizontal="center"/>
      <protection locked="0" hidden="1"/>
    </xf>
    <xf numFmtId="0" fontId="2" fillId="0" borderId="7" xfId="1" applyFont="1" applyBorder="1" applyAlignment="1" applyProtection="1">
      <alignment horizontal="center"/>
      <protection locked="0" hidden="1"/>
    </xf>
    <xf numFmtId="0" fontId="2" fillId="0" borderId="8" xfId="1" applyFont="1" applyBorder="1" applyAlignment="1" applyProtection="1">
      <alignment horizontal="center"/>
      <protection locked="0" hidden="1"/>
    </xf>
    <xf numFmtId="0" fontId="3" fillId="2" borderId="2" xfId="1" applyFont="1" applyFill="1" applyBorder="1" applyAlignment="1" applyProtection="1">
      <alignment horizontal="center"/>
      <protection locked="0" hidden="1"/>
    </xf>
    <xf numFmtId="0" fontId="3" fillId="2" borderId="3" xfId="1" applyFont="1" applyFill="1" applyBorder="1" applyAlignment="1" applyProtection="1">
      <alignment horizontal="center"/>
      <protection locked="0" hidden="1"/>
    </xf>
    <xf numFmtId="0" fontId="3" fillId="2" borderId="4" xfId="1" applyFont="1" applyFill="1" applyBorder="1" applyAlignment="1" applyProtection="1">
      <alignment horizontal="center"/>
      <protection locked="0" hidden="1"/>
    </xf>
    <xf numFmtId="0" fontId="7" fillId="0" borderId="5" xfId="0" applyFont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3" fillId="2" borderId="20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6" borderId="5" xfId="0" applyFont="1" applyFill="1" applyBorder="1" applyAlignment="1" applyProtection="1">
      <alignment horizontal="left"/>
      <protection locked="0"/>
    </xf>
  </cellXfs>
  <cellStyles count="3">
    <cellStyle name="Comma 2" xfId="2"/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selection activeCell="B15" sqref="B15"/>
    </sheetView>
  </sheetViews>
  <sheetFormatPr defaultRowHeight="15.75" x14ac:dyDescent="0.25"/>
  <cols>
    <col min="1" max="1" width="3.42578125" style="16" customWidth="1"/>
    <col min="2" max="2" width="34.140625" style="16" customWidth="1"/>
    <col min="3" max="3" width="11.28515625" style="16" customWidth="1"/>
    <col min="4" max="4" width="12.85546875" style="16" customWidth="1"/>
    <col min="5" max="5" width="14" style="16" customWidth="1"/>
    <col min="6" max="6" width="23.85546875" style="16" customWidth="1"/>
    <col min="7" max="7" width="12.5703125" style="16" customWidth="1"/>
  </cols>
  <sheetData>
    <row r="1" spans="1:15" x14ac:dyDescent="0.25">
      <c r="A1" s="5"/>
      <c r="B1" s="6" t="s">
        <v>23</v>
      </c>
      <c r="C1" s="7"/>
      <c r="D1" s="7"/>
      <c r="E1" s="7"/>
      <c r="F1" s="7"/>
      <c r="G1" s="7"/>
    </row>
    <row r="2" spans="1:15" x14ac:dyDescent="0.25">
      <c r="A2" s="1"/>
      <c r="B2" s="51" t="s">
        <v>22</v>
      </c>
      <c r="C2" s="51"/>
      <c r="D2" s="51"/>
      <c r="E2" s="51"/>
      <c r="F2" s="51"/>
      <c r="G2" s="51"/>
    </row>
    <row r="3" spans="1:15" x14ac:dyDescent="0.25">
      <c r="A3" s="1"/>
      <c r="B3" s="8"/>
      <c r="C3" s="8"/>
      <c r="D3" s="8"/>
      <c r="E3" s="8"/>
      <c r="F3" s="8"/>
      <c r="G3" s="8"/>
    </row>
    <row r="4" spans="1:15" ht="16.5" thickBot="1" x14ac:dyDescent="0.3">
      <c r="A4" s="1"/>
      <c r="B4" s="1"/>
      <c r="C4" s="1"/>
      <c r="D4" s="1"/>
      <c r="E4" s="2"/>
      <c r="F4" s="1"/>
      <c r="G4" s="1"/>
    </row>
    <row r="5" spans="1:15" ht="17.25" thickTop="1" thickBot="1" x14ac:dyDescent="0.3">
      <c r="A5" s="1"/>
      <c r="B5" s="3" t="s">
        <v>0</v>
      </c>
      <c r="C5" s="4"/>
      <c r="D5" s="52"/>
      <c r="E5" s="53"/>
      <c r="F5" s="53"/>
      <c r="G5" s="54"/>
    </row>
    <row r="6" spans="1:15" ht="17.25" thickTop="1" thickBot="1" x14ac:dyDescent="0.3">
      <c r="A6" s="1"/>
      <c r="B6" s="3" t="s">
        <v>40</v>
      </c>
      <c r="C6" s="4"/>
      <c r="D6" s="52"/>
      <c r="E6" s="53"/>
      <c r="F6" s="53"/>
      <c r="G6" s="54"/>
    </row>
    <row r="7" spans="1:15" ht="17.25" thickTop="1" thickBot="1" x14ac:dyDescent="0.3">
      <c r="A7" s="1"/>
      <c r="B7" s="3" t="s">
        <v>1</v>
      </c>
      <c r="C7" s="4"/>
      <c r="D7" s="52"/>
      <c r="E7" s="53"/>
      <c r="F7" s="53"/>
      <c r="G7" s="54"/>
    </row>
    <row r="8" spans="1:15" ht="17.25" thickTop="1" thickBot="1" x14ac:dyDescent="0.3">
      <c r="A8" s="1"/>
      <c r="B8" s="3" t="s">
        <v>2</v>
      </c>
      <c r="C8" s="4"/>
      <c r="D8" s="52" t="s">
        <v>34</v>
      </c>
      <c r="E8" s="53"/>
      <c r="F8" s="53"/>
      <c r="G8" s="54"/>
      <c r="K8" t="s">
        <v>34</v>
      </c>
    </row>
    <row r="9" spans="1:15" ht="32.25" thickTop="1" x14ac:dyDescent="0.25">
      <c r="A9" s="1"/>
      <c r="B9" s="9" t="s">
        <v>8</v>
      </c>
      <c r="C9" s="10" t="s">
        <v>3</v>
      </c>
      <c r="D9" s="10" t="s">
        <v>4</v>
      </c>
      <c r="E9" s="9" t="s">
        <v>6</v>
      </c>
      <c r="F9" s="10" t="s">
        <v>7</v>
      </c>
      <c r="G9" s="10" t="s">
        <v>39</v>
      </c>
      <c r="K9" t="s">
        <v>35</v>
      </c>
    </row>
    <row r="10" spans="1:15" x14ac:dyDescent="0.25">
      <c r="A10" s="1"/>
      <c r="B10" s="11" t="s">
        <v>9</v>
      </c>
      <c r="C10" s="12">
        <v>15</v>
      </c>
      <c r="D10" s="12">
        <v>15</v>
      </c>
      <c r="E10" s="11" t="s">
        <v>10</v>
      </c>
      <c r="F10" s="55"/>
      <c r="G10" s="55"/>
      <c r="K10" t="s">
        <v>36</v>
      </c>
    </row>
    <row r="11" spans="1:15" x14ac:dyDescent="0.25">
      <c r="A11" s="1"/>
      <c r="B11" s="11" t="s">
        <v>11</v>
      </c>
      <c r="C11" s="12">
        <v>15</v>
      </c>
      <c r="D11" s="12">
        <v>5</v>
      </c>
      <c r="E11" s="11" t="s">
        <v>10</v>
      </c>
      <c r="F11" s="56"/>
      <c r="G11" s="56"/>
      <c r="K11" t="s">
        <v>37</v>
      </c>
    </row>
    <row r="12" spans="1:15" x14ac:dyDescent="0.25">
      <c r="A12" s="1"/>
      <c r="B12" s="11" t="s">
        <v>26</v>
      </c>
      <c r="C12" s="12">
        <v>20</v>
      </c>
      <c r="D12" s="12">
        <v>7.5</v>
      </c>
      <c r="E12" s="11" t="s">
        <v>10</v>
      </c>
      <c r="F12" s="56"/>
      <c r="G12" s="56"/>
      <c r="K12" t="s">
        <v>38</v>
      </c>
    </row>
    <row r="13" spans="1:15" x14ac:dyDescent="0.25">
      <c r="A13" s="1"/>
      <c r="B13" s="11" t="s">
        <v>13</v>
      </c>
      <c r="C13" s="12">
        <v>15</v>
      </c>
      <c r="D13" s="12">
        <v>5</v>
      </c>
      <c r="E13" s="11" t="s">
        <v>12</v>
      </c>
      <c r="F13" s="56"/>
      <c r="G13" s="56"/>
    </row>
    <row r="14" spans="1:15" x14ac:dyDescent="0.25">
      <c r="A14" s="1"/>
      <c r="B14" s="11" t="s">
        <v>28</v>
      </c>
      <c r="C14" s="12">
        <v>10</v>
      </c>
      <c r="D14" s="12">
        <v>5</v>
      </c>
      <c r="E14" s="11" t="s">
        <v>14</v>
      </c>
      <c r="F14" s="56"/>
      <c r="G14" s="56"/>
    </row>
    <row r="15" spans="1:15" x14ac:dyDescent="0.25">
      <c r="A15" s="1"/>
      <c r="B15" s="11" t="s">
        <v>15</v>
      </c>
      <c r="C15" s="12">
        <v>10</v>
      </c>
      <c r="D15" s="12">
        <v>5</v>
      </c>
      <c r="E15" s="11" t="s">
        <v>10</v>
      </c>
      <c r="F15" s="57"/>
      <c r="G15" s="57"/>
    </row>
    <row r="16" spans="1:15" x14ac:dyDescent="0.25">
      <c r="A16" s="1"/>
      <c r="B16" s="11" t="s">
        <v>29</v>
      </c>
      <c r="C16" s="12">
        <v>15</v>
      </c>
      <c r="D16" s="12">
        <v>5</v>
      </c>
      <c r="E16" s="11" t="s">
        <v>14</v>
      </c>
      <c r="F16" s="55"/>
      <c r="G16" s="55"/>
      <c r="J16">
        <v>15</v>
      </c>
      <c r="K16">
        <v>15</v>
      </c>
      <c r="L16">
        <v>20</v>
      </c>
      <c r="M16">
        <v>15</v>
      </c>
      <c r="N16">
        <v>10</v>
      </c>
      <c r="O16">
        <v>15</v>
      </c>
    </row>
    <row r="17" spans="1:15" x14ac:dyDescent="0.25">
      <c r="A17" s="1"/>
      <c r="B17" s="11" t="s">
        <v>33</v>
      </c>
      <c r="C17" s="12">
        <v>10</v>
      </c>
      <c r="D17" s="12">
        <v>5</v>
      </c>
      <c r="E17" s="11" t="s">
        <v>10</v>
      </c>
      <c r="F17" s="56">
        <v>17</v>
      </c>
      <c r="G17" s="56">
        <v>12</v>
      </c>
      <c r="J17">
        <v>12.5</v>
      </c>
      <c r="K17">
        <v>10</v>
      </c>
      <c r="L17">
        <v>15</v>
      </c>
      <c r="M17">
        <v>12.5</v>
      </c>
      <c r="N17">
        <v>5</v>
      </c>
      <c r="O17">
        <v>10</v>
      </c>
    </row>
    <row r="18" spans="1:15" ht="16.5" thickBot="1" x14ac:dyDescent="0.3">
      <c r="A18" s="1"/>
      <c r="B18" s="1"/>
      <c r="C18" s="1"/>
      <c r="D18" s="1" t="s">
        <v>16</v>
      </c>
      <c r="E18" s="1"/>
      <c r="F18" s="56"/>
      <c r="G18" s="56"/>
      <c r="J18">
        <v>10</v>
      </c>
      <c r="K18">
        <v>7.5</v>
      </c>
      <c r="L18">
        <v>10</v>
      </c>
      <c r="M18">
        <v>10</v>
      </c>
      <c r="O18">
        <v>5</v>
      </c>
    </row>
    <row r="19" spans="1:15" ht="17.25" thickTop="1" thickBot="1" x14ac:dyDescent="0.3">
      <c r="A19" s="1"/>
      <c r="B19" s="58" t="s">
        <v>17</v>
      </c>
      <c r="C19" s="59"/>
      <c r="D19" s="59"/>
      <c r="E19" s="59"/>
      <c r="F19" s="13">
        <f>D10+D11+D12+D13+D14+D15+D16+D17</f>
        <v>52.5</v>
      </c>
      <c r="G19" s="13">
        <v>50</v>
      </c>
      <c r="J19">
        <v>7.5</v>
      </c>
      <c r="K19">
        <v>5</v>
      </c>
      <c r="L19">
        <v>7.5</v>
      </c>
      <c r="M19">
        <v>5</v>
      </c>
    </row>
    <row r="20" spans="1:15" ht="17.25" thickTop="1" thickBot="1" x14ac:dyDescent="0.3">
      <c r="A20" s="1"/>
      <c r="B20" s="1"/>
      <c r="C20" s="1"/>
      <c r="D20" s="1"/>
      <c r="E20" s="1"/>
      <c r="F20" s="1"/>
      <c r="G20" s="1"/>
      <c r="M20">
        <v>0</v>
      </c>
    </row>
    <row r="21" spans="1:15" ht="17.25" thickTop="1" thickBot="1" x14ac:dyDescent="0.3">
      <c r="A21" s="1"/>
      <c r="B21" s="58" t="s">
        <v>18</v>
      </c>
      <c r="C21" s="59"/>
      <c r="D21" s="59"/>
      <c r="E21" s="60"/>
      <c r="F21" s="58" t="str">
        <f>IF(F19&lt;50,"Below The Benchmark","na")</f>
        <v>na</v>
      </c>
      <c r="G21" s="60"/>
    </row>
    <row r="22" spans="1:15" ht="16.5" thickTop="1" x14ac:dyDescent="0.25">
      <c r="A22" s="1"/>
      <c r="B22" s="8"/>
      <c r="C22" s="8"/>
      <c r="D22" s="8"/>
      <c r="E22" s="8"/>
      <c r="F22" s="8"/>
      <c r="G22" s="8"/>
    </row>
    <row r="23" spans="1:15" x14ac:dyDescent="0.25">
      <c r="A23" s="1"/>
      <c r="B23" s="8"/>
      <c r="C23" s="8"/>
      <c r="D23" s="8"/>
      <c r="E23" s="8"/>
      <c r="F23" s="8"/>
      <c r="G23" s="8"/>
    </row>
    <row r="24" spans="1:15" x14ac:dyDescent="0.25">
      <c r="A24" s="1"/>
      <c r="B24" s="8"/>
      <c r="C24" s="8"/>
      <c r="D24" s="8"/>
      <c r="E24" s="8"/>
      <c r="F24" s="8"/>
      <c r="G24" s="8"/>
    </row>
    <row r="25" spans="1:15" x14ac:dyDescent="0.25">
      <c r="A25" s="15"/>
      <c r="B25" s="8"/>
      <c r="C25" s="8"/>
      <c r="D25" s="8"/>
      <c r="E25" s="8"/>
      <c r="F25" s="8"/>
      <c r="G25" s="15"/>
    </row>
    <row r="26" spans="1:15" x14ac:dyDescent="0.25">
      <c r="B26" s="8"/>
      <c r="C26" s="8" t="s">
        <v>19</v>
      </c>
      <c r="D26" s="8" t="s">
        <v>20</v>
      </c>
      <c r="E26" s="8"/>
      <c r="F26" s="14" t="s">
        <v>21</v>
      </c>
    </row>
    <row r="41" spans="2:8" ht="15" customHeight="1" thickBot="1" x14ac:dyDescent="0.3">
      <c r="B41" s="17" t="s">
        <v>84</v>
      </c>
      <c r="C41" s="18"/>
      <c r="D41" s="30"/>
      <c r="F41" s="17" t="s">
        <v>85</v>
      </c>
      <c r="G41" s="18"/>
      <c r="H41" s="30"/>
    </row>
    <row r="42" spans="2:8" ht="15" customHeight="1" thickBot="1" x14ac:dyDescent="0.3">
      <c r="B42" s="19" t="s">
        <v>24</v>
      </c>
      <c r="C42" s="20" t="s">
        <v>5</v>
      </c>
      <c r="D42" s="28" t="s">
        <v>45</v>
      </c>
      <c r="F42" s="19" t="s">
        <v>24</v>
      </c>
      <c r="G42" s="20" t="s">
        <v>5</v>
      </c>
      <c r="H42" s="28" t="s">
        <v>45</v>
      </c>
    </row>
    <row r="43" spans="2:8" ht="15" customHeight="1" thickBot="1" x14ac:dyDescent="0.3">
      <c r="B43" s="23" t="s">
        <v>51</v>
      </c>
      <c r="C43" s="22">
        <v>15</v>
      </c>
      <c r="D43" s="48">
        <v>7.5</v>
      </c>
      <c r="F43" s="23" t="s">
        <v>86</v>
      </c>
      <c r="G43" s="22">
        <v>15</v>
      </c>
      <c r="H43" s="48">
        <v>7.5</v>
      </c>
    </row>
    <row r="44" spans="2:8" ht="15" customHeight="1" thickBot="1" x14ac:dyDescent="0.3">
      <c r="B44" s="23" t="s">
        <v>50</v>
      </c>
      <c r="C44" s="22">
        <v>10</v>
      </c>
      <c r="D44" s="49"/>
      <c r="F44" s="23" t="s">
        <v>87</v>
      </c>
      <c r="G44" s="22">
        <v>10</v>
      </c>
      <c r="H44" s="49"/>
    </row>
    <row r="45" spans="2:8" ht="15" customHeight="1" thickBot="1" x14ac:dyDescent="0.3">
      <c r="B45" s="45" t="s">
        <v>49</v>
      </c>
      <c r="C45" s="37">
        <v>7.5</v>
      </c>
      <c r="D45" s="49"/>
      <c r="F45" s="23" t="s">
        <v>88</v>
      </c>
      <c r="G45" s="22">
        <v>7.5</v>
      </c>
      <c r="H45" s="49"/>
    </row>
    <row r="46" spans="2:8" ht="15" customHeight="1" thickBot="1" x14ac:dyDescent="0.3">
      <c r="B46" s="45" t="s">
        <v>44</v>
      </c>
      <c r="C46" s="46">
        <v>0</v>
      </c>
      <c r="D46" s="49"/>
      <c r="F46" s="23" t="s">
        <v>89</v>
      </c>
      <c r="G46" s="22">
        <v>0</v>
      </c>
      <c r="H46" s="50"/>
    </row>
    <row r="47" spans="2:8" ht="15" customHeight="1" thickBot="1" x14ac:dyDescent="0.3">
      <c r="B47" s="47" t="s">
        <v>90</v>
      </c>
      <c r="C47" s="37">
        <v>0</v>
      </c>
      <c r="D47" s="50"/>
    </row>
    <row r="51" spans="5:5" x14ac:dyDescent="0.25">
      <c r="E51" s="16" t="s">
        <v>92</v>
      </c>
    </row>
    <row r="52" spans="5:5" x14ac:dyDescent="0.25">
      <c r="E52" s="16" t="s">
        <v>93</v>
      </c>
    </row>
  </sheetData>
  <protectedRanges>
    <protectedRange sqref="D4:E8" name="Range1_1"/>
    <protectedRange sqref="C10:D17" name="Range1_1_1"/>
  </protectedRanges>
  <dataConsolidate function="count"/>
  <mergeCells count="14">
    <mergeCell ref="D43:D47"/>
    <mergeCell ref="H43:H46"/>
    <mergeCell ref="B2:G2"/>
    <mergeCell ref="D6:G6"/>
    <mergeCell ref="F10:F15"/>
    <mergeCell ref="G10:G15"/>
    <mergeCell ref="D5:G5"/>
    <mergeCell ref="D7:G7"/>
    <mergeCell ref="D8:G8"/>
    <mergeCell ref="B21:E21"/>
    <mergeCell ref="F21:G21"/>
    <mergeCell ref="F16:F18"/>
    <mergeCell ref="G16:G18"/>
    <mergeCell ref="B19:E19"/>
  </mergeCells>
  <conditionalFormatting sqref="F21:G23">
    <cfRule type="expression" dxfId="7" priority="5">
      <formula>$D$8=#REF!</formula>
    </cfRule>
    <cfRule type="cellIs" dxfId="6" priority="7" operator="equal">
      <formula>"Below the Benchmark"</formula>
    </cfRule>
    <cfRule type="cellIs" dxfId="5" priority="8" operator="equal">
      <formula>"Acceptable"</formula>
    </cfRule>
  </conditionalFormatting>
  <dataValidations count="9">
    <dataValidation type="list" allowBlank="1" showInputMessage="1" showErrorMessage="1" error="Please Select from the list." sqref="D8:G8">
      <formula1>$K$8:$K$12</formula1>
    </dataValidation>
    <dataValidation type="list" allowBlank="1" showErrorMessage="1" error="Please Select from the List_x000a_" sqref="C10:D10">
      <formula1>$J$16:$J$19</formula1>
    </dataValidation>
    <dataValidation type="list" allowBlank="1" showErrorMessage="1" error="Please Select from the List_x000a_" sqref="C11:D11">
      <formula1>$K$16:$K$19</formula1>
    </dataValidation>
    <dataValidation type="list" allowBlank="1" showErrorMessage="1" error="Please Select from the List_x000a_" sqref="C12:D12">
      <formula1>$L$16:$L$19</formula1>
    </dataValidation>
    <dataValidation type="list" allowBlank="1" showErrorMessage="1" error="Please Select from the List_x000a_" sqref="C13:D13">
      <formula1>$M$16:$M$20</formula1>
    </dataValidation>
    <dataValidation type="list" allowBlank="1" showErrorMessage="1" error="Please Select from the List_x000a_" sqref="C14:D15 C17:D17">
      <formula1>$N$16:$N$17</formula1>
    </dataValidation>
    <dataValidation type="list" allowBlank="1" showInputMessage="1" showErrorMessage="1" errorTitle="Please Select from the List" error="Please Select from the List" sqref="C16:D16">
      <formula1>$O$16:$O$18</formula1>
    </dataValidation>
    <dataValidation type="list" allowBlank="1" showInputMessage="1" showErrorMessage="1" sqref="D43:D47">
      <formula1>$C$12:$C$16</formula1>
    </dataValidation>
    <dataValidation type="list" allowBlank="1" showInputMessage="1" showErrorMessage="1" sqref="H43:H46">
      <formula1>$G$12:$G$15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workbookViewId="0">
      <selection sqref="A1:XFD1048576"/>
    </sheetView>
  </sheetViews>
  <sheetFormatPr defaultColWidth="0" defaultRowHeight="15" zeroHeight="1" x14ac:dyDescent="0.25"/>
  <cols>
    <col min="1" max="1" width="9.140625" style="26" customWidth="1"/>
    <col min="2" max="2" width="69.7109375" style="26" customWidth="1"/>
    <col min="3" max="3" width="6.42578125" style="26" bestFit="1" customWidth="1"/>
    <col min="4" max="4" width="15.5703125" style="30" bestFit="1" customWidth="1"/>
    <col min="5" max="10" width="0" style="26" hidden="1" customWidth="1"/>
    <col min="11" max="16384" width="9.140625" style="26" hidden="1"/>
  </cols>
  <sheetData>
    <row r="1" spans="1:10" ht="15.75" x14ac:dyDescent="0.25">
      <c r="A1" s="64" t="s">
        <v>52</v>
      </c>
      <c r="B1" s="64"/>
      <c r="C1" s="64"/>
      <c r="D1" s="64"/>
    </row>
    <row r="2" spans="1:10" ht="15.75" x14ac:dyDescent="0.25">
      <c r="A2" s="64" t="s">
        <v>103</v>
      </c>
      <c r="B2" s="64"/>
      <c r="C2" s="64"/>
      <c r="D2" s="64"/>
    </row>
    <row r="3" spans="1:10" x14ac:dyDescent="0.25">
      <c r="A3" s="24" t="s">
        <v>53</v>
      </c>
      <c r="B3" s="67" t="s">
        <v>112</v>
      </c>
      <c r="C3" s="67"/>
      <c r="D3" s="67"/>
    </row>
    <row r="4" spans="1:10" x14ac:dyDescent="0.25">
      <c r="A4" s="24" t="s">
        <v>54</v>
      </c>
      <c r="B4" s="67" t="s">
        <v>113</v>
      </c>
      <c r="C4" s="67"/>
      <c r="D4" s="67"/>
    </row>
    <row r="5" spans="1:10" x14ac:dyDescent="0.25">
      <c r="A5" s="25"/>
      <c r="B5" s="25"/>
      <c r="C5" s="25"/>
    </row>
    <row r="6" spans="1:10" ht="15.75" thickBot="1" x14ac:dyDescent="0.3">
      <c r="A6" s="17">
        <v>1</v>
      </c>
      <c r="B6" s="17" t="s">
        <v>9</v>
      </c>
      <c r="C6" s="18"/>
    </row>
    <row r="7" spans="1:10" ht="15.75" thickBot="1" x14ac:dyDescent="0.3">
      <c r="A7" s="18"/>
      <c r="B7" s="19" t="s">
        <v>24</v>
      </c>
      <c r="C7" s="20" t="s">
        <v>5</v>
      </c>
      <c r="D7" s="28" t="s">
        <v>45</v>
      </c>
    </row>
    <row r="8" spans="1:10" ht="30.75" thickBot="1" x14ac:dyDescent="0.3">
      <c r="A8" s="18"/>
      <c r="B8" s="21" t="s">
        <v>55</v>
      </c>
      <c r="C8" s="22">
        <v>15</v>
      </c>
      <c r="D8" s="48">
        <v>10</v>
      </c>
    </row>
    <row r="9" spans="1:10" ht="30.75" thickBot="1" x14ac:dyDescent="0.3">
      <c r="A9" s="18"/>
      <c r="B9" s="23" t="s">
        <v>56</v>
      </c>
      <c r="C9" s="22">
        <v>10</v>
      </c>
      <c r="D9" s="49"/>
      <c r="H9" s="26">
        <v>15</v>
      </c>
      <c r="I9" s="26">
        <v>15</v>
      </c>
      <c r="J9" s="26">
        <v>10</v>
      </c>
    </row>
    <row r="10" spans="1:10" ht="15.75" thickBot="1" x14ac:dyDescent="0.3">
      <c r="A10" s="18"/>
      <c r="B10" s="23" t="s">
        <v>25</v>
      </c>
      <c r="C10" s="22">
        <v>5</v>
      </c>
      <c r="D10" s="50"/>
      <c r="H10" s="26">
        <v>10</v>
      </c>
      <c r="I10" s="26">
        <v>12.5</v>
      </c>
      <c r="J10" s="26">
        <v>7.5</v>
      </c>
    </row>
    <row r="11" spans="1:10" ht="24" customHeight="1" thickBot="1" x14ac:dyDescent="0.3">
      <c r="A11" s="17">
        <v>2</v>
      </c>
      <c r="B11" s="17" t="s">
        <v>105</v>
      </c>
      <c r="C11" s="18"/>
      <c r="H11" s="26">
        <v>5</v>
      </c>
      <c r="I11" s="26">
        <v>10</v>
      </c>
      <c r="J11" s="26">
        <v>5</v>
      </c>
    </row>
    <row r="12" spans="1:10" ht="15.75" thickBot="1" x14ac:dyDescent="0.3">
      <c r="A12" s="18"/>
      <c r="B12" s="19" t="s">
        <v>24</v>
      </c>
      <c r="C12" s="20" t="s">
        <v>5</v>
      </c>
      <c r="D12" s="28" t="s">
        <v>45</v>
      </c>
    </row>
    <row r="13" spans="1:10" ht="15.75" thickBot="1" x14ac:dyDescent="0.3">
      <c r="A13" s="18"/>
      <c r="B13" s="35" t="s">
        <v>108</v>
      </c>
      <c r="C13" s="22">
        <v>15</v>
      </c>
      <c r="D13" s="48">
        <v>15</v>
      </c>
    </row>
    <row r="14" spans="1:10" ht="15.75" thickBot="1" x14ac:dyDescent="0.3">
      <c r="A14" s="18"/>
      <c r="B14" s="23" t="s">
        <v>106</v>
      </c>
      <c r="C14" s="22">
        <v>10</v>
      </c>
      <c r="D14" s="49"/>
      <c r="H14" s="26">
        <v>5</v>
      </c>
    </row>
    <row r="15" spans="1:10" ht="15.75" thickBot="1" x14ac:dyDescent="0.3">
      <c r="A15" s="18"/>
      <c r="B15" s="23" t="s">
        <v>107</v>
      </c>
      <c r="C15" s="22">
        <v>0</v>
      </c>
      <c r="D15" s="50"/>
      <c r="H15" s="26">
        <v>0</v>
      </c>
    </row>
    <row r="16" spans="1:10" ht="21.6" customHeight="1" thickBot="1" x14ac:dyDescent="0.3">
      <c r="A16" s="17">
        <v>3</v>
      </c>
      <c r="B16" s="17" t="s">
        <v>46</v>
      </c>
      <c r="C16" s="18"/>
    </row>
    <row r="17" spans="1:8" ht="15.75" thickBot="1" x14ac:dyDescent="0.3">
      <c r="A17" s="18"/>
      <c r="B17" s="19" t="s">
        <v>24</v>
      </c>
      <c r="C17" s="32" t="s">
        <v>5</v>
      </c>
      <c r="D17" s="28" t="s">
        <v>45</v>
      </c>
    </row>
    <row r="18" spans="1:8" ht="15.75" thickBot="1" x14ac:dyDescent="0.3">
      <c r="A18" s="18"/>
      <c r="B18" s="31" t="s">
        <v>94</v>
      </c>
      <c r="C18" s="33">
        <v>10</v>
      </c>
      <c r="D18" s="48">
        <v>5</v>
      </c>
    </row>
    <row r="19" spans="1:8" ht="15.75" thickBot="1" x14ac:dyDescent="0.3">
      <c r="A19" s="18"/>
      <c r="B19" s="31" t="s">
        <v>95</v>
      </c>
      <c r="C19" s="33">
        <v>7.5</v>
      </c>
      <c r="D19" s="49"/>
    </row>
    <row r="20" spans="1:8" ht="15.75" thickBot="1" x14ac:dyDescent="0.3">
      <c r="A20" s="18"/>
      <c r="B20" s="31" t="s">
        <v>96</v>
      </c>
      <c r="C20" s="33">
        <v>5</v>
      </c>
      <c r="D20" s="49"/>
    </row>
    <row r="21" spans="1:8" ht="15.75" thickBot="1" x14ac:dyDescent="0.3">
      <c r="A21" s="18"/>
      <c r="B21" s="31" t="s">
        <v>98</v>
      </c>
      <c r="C21" s="33">
        <v>0</v>
      </c>
      <c r="D21" s="50"/>
      <c r="H21" s="26">
        <v>10</v>
      </c>
    </row>
    <row r="22" spans="1:8" ht="23.45" customHeight="1" thickBot="1" x14ac:dyDescent="0.3">
      <c r="A22" s="17">
        <v>4</v>
      </c>
      <c r="B22" s="17" t="s">
        <v>47</v>
      </c>
      <c r="C22" s="18"/>
      <c r="H22" s="26">
        <v>7.5</v>
      </c>
    </row>
    <row r="23" spans="1:8" ht="15.75" thickBot="1" x14ac:dyDescent="0.3">
      <c r="A23" s="18"/>
      <c r="B23" s="19" t="s">
        <v>24</v>
      </c>
      <c r="C23" s="32" t="s">
        <v>5</v>
      </c>
      <c r="D23" s="28" t="s">
        <v>45</v>
      </c>
      <c r="H23" s="26">
        <v>5</v>
      </c>
    </row>
    <row r="24" spans="1:8" ht="15.75" thickBot="1" x14ac:dyDescent="0.3">
      <c r="A24" s="18"/>
      <c r="B24" s="31" t="s">
        <v>109</v>
      </c>
      <c r="C24" s="33">
        <v>5</v>
      </c>
      <c r="D24" s="48">
        <v>5</v>
      </c>
      <c r="H24" s="26">
        <v>0</v>
      </c>
    </row>
    <row r="25" spans="1:8" ht="15.75" thickBot="1" x14ac:dyDescent="0.3">
      <c r="A25" s="18"/>
      <c r="B25" s="31" t="s">
        <v>48</v>
      </c>
      <c r="C25" s="33">
        <v>0</v>
      </c>
      <c r="D25" s="50"/>
    </row>
    <row r="26" spans="1:8" ht="24.6" customHeight="1" thickBot="1" x14ac:dyDescent="0.3">
      <c r="A26" s="17">
        <v>5</v>
      </c>
      <c r="B26" s="17" t="s">
        <v>13</v>
      </c>
      <c r="C26" s="18"/>
    </row>
    <row r="27" spans="1:8" ht="15.75" thickBot="1" x14ac:dyDescent="0.3">
      <c r="A27" s="18"/>
      <c r="B27" s="19" t="s">
        <v>24</v>
      </c>
      <c r="C27" s="20" t="s">
        <v>5</v>
      </c>
      <c r="D27" s="28" t="s">
        <v>45</v>
      </c>
    </row>
    <row r="28" spans="1:8" ht="30.75" thickBot="1" x14ac:dyDescent="0.3">
      <c r="A28" s="18"/>
      <c r="B28" s="34" t="s">
        <v>59</v>
      </c>
      <c r="C28" s="22">
        <v>10</v>
      </c>
      <c r="D28" s="48">
        <v>5</v>
      </c>
    </row>
    <row r="29" spans="1:8" ht="30.75" thickBot="1" x14ac:dyDescent="0.3">
      <c r="A29" s="18"/>
      <c r="B29" s="34" t="s">
        <v>60</v>
      </c>
      <c r="C29" s="22">
        <v>7.5</v>
      </c>
      <c r="D29" s="49"/>
    </row>
    <row r="30" spans="1:8" ht="15.75" thickBot="1" x14ac:dyDescent="0.3">
      <c r="A30" s="18"/>
      <c r="B30" s="35" t="s">
        <v>27</v>
      </c>
      <c r="C30" s="22">
        <v>5</v>
      </c>
      <c r="D30" s="49"/>
    </row>
    <row r="31" spans="1:8" ht="15.75" thickBot="1" x14ac:dyDescent="0.3">
      <c r="A31" s="18"/>
      <c r="B31" s="35" t="s">
        <v>99</v>
      </c>
      <c r="C31" s="22">
        <v>0</v>
      </c>
      <c r="D31" s="50"/>
    </row>
    <row r="32" spans="1:8" ht="24.6" customHeight="1" thickBot="1" x14ac:dyDescent="0.3">
      <c r="A32" s="17">
        <v>6</v>
      </c>
      <c r="B32" s="17" t="s">
        <v>28</v>
      </c>
      <c r="C32" s="18"/>
    </row>
    <row r="33" spans="1:8" ht="15.75" thickBot="1" x14ac:dyDescent="0.3">
      <c r="A33" s="18"/>
      <c r="B33" s="19" t="s">
        <v>24</v>
      </c>
      <c r="C33" s="20" t="s">
        <v>5</v>
      </c>
      <c r="D33" s="28" t="s">
        <v>45</v>
      </c>
    </row>
    <row r="34" spans="1:8" ht="15.75" thickBot="1" x14ac:dyDescent="0.3">
      <c r="A34" s="18"/>
      <c r="B34" s="23" t="s">
        <v>57</v>
      </c>
      <c r="C34" s="22">
        <v>10</v>
      </c>
      <c r="D34" s="48">
        <v>10</v>
      </c>
      <c r="H34" s="26">
        <v>10</v>
      </c>
    </row>
    <row r="35" spans="1:8" ht="15.75" thickBot="1" x14ac:dyDescent="0.3">
      <c r="A35" s="18"/>
      <c r="B35" s="23" t="s">
        <v>91</v>
      </c>
      <c r="C35" s="22">
        <v>7.5</v>
      </c>
      <c r="D35" s="49"/>
    </row>
    <row r="36" spans="1:8" ht="15.75" thickBot="1" x14ac:dyDescent="0.3">
      <c r="A36" s="18"/>
      <c r="B36" s="23" t="s">
        <v>104</v>
      </c>
      <c r="C36" s="22">
        <v>5</v>
      </c>
      <c r="D36" s="49"/>
      <c r="H36" s="26">
        <v>5</v>
      </c>
    </row>
    <row r="37" spans="1:8" ht="15.75" thickBot="1" x14ac:dyDescent="0.3">
      <c r="A37" s="18"/>
      <c r="B37" s="36" t="s">
        <v>58</v>
      </c>
      <c r="C37" s="37">
        <v>0</v>
      </c>
      <c r="D37" s="50"/>
      <c r="H37" s="26">
        <v>0</v>
      </c>
    </row>
    <row r="38" spans="1:8" ht="24.6" customHeight="1" thickBot="1" x14ac:dyDescent="0.3">
      <c r="A38" s="17">
        <v>7</v>
      </c>
      <c r="B38" s="17" t="s">
        <v>15</v>
      </c>
      <c r="C38" s="18"/>
    </row>
    <row r="39" spans="1:8" ht="15.75" thickBot="1" x14ac:dyDescent="0.3">
      <c r="A39" s="18"/>
      <c r="B39" s="19" t="s">
        <v>24</v>
      </c>
      <c r="C39" s="20" t="s">
        <v>5</v>
      </c>
      <c r="D39" s="28" t="s">
        <v>45</v>
      </c>
    </row>
    <row r="40" spans="1:8" ht="15.75" thickBot="1" x14ac:dyDescent="0.3">
      <c r="A40" s="18"/>
      <c r="B40" s="23" t="s">
        <v>110</v>
      </c>
      <c r="C40" s="38">
        <v>10</v>
      </c>
      <c r="D40" s="48">
        <v>10</v>
      </c>
      <c r="H40" s="26">
        <v>10</v>
      </c>
    </row>
    <row r="41" spans="1:8" ht="15.75" thickBot="1" x14ac:dyDescent="0.3">
      <c r="A41" s="18"/>
      <c r="B41" s="23" t="s">
        <v>111</v>
      </c>
      <c r="C41" s="38">
        <v>5</v>
      </c>
      <c r="D41" s="50"/>
      <c r="H41" s="26">
        <v>5</v>
      </c>
    </row>
    <row r="42" spans="1:8" ht="22.15" customHeight="1" thickBot="1" x14ac:dyDescent="0.3">
      <c r="A42" s="17">
        <v>8</v>
      </c>
      <c r="B42" s="17" t="s">
        <v>29</v>
      </c>
      <c r="C42" s="18"/>
    </row>
    <row r="43" spans="1:8" ht="15.75" thickBot="1" x14ac:dyDescent="0.3">
      <c r="A43" s="18"/>
      <c r="B43" s="19" t="s">
        <v>24</v>
      </c>
      <c r="C43" s="20" t="s">
        <v>5</v>
      </c>
      <c r="D43" s="28" t="s">
        <v>45</v>
      </c>
    </row>
    <row r="44" spans="1:8" ht="15.75" thickBot="1" x14ac:dyDescent="0.3">
      <c r="A44" s="18"/>
      <c r="B44" s="31" t="s">
        <v>100</v>
      </c>
      <c r="C44" s="38">
        <v>15</v>
      </c>
      <c r="D44" s="48">
        <v>10</v>
      </c>
      <c r="H44" s="26">
        <v>15</v>
      </c>
    </row>
    <row r="45" spans="1:8" ht="30.75" thickBot="1" x14ac:dyDescent="0.3">
      <c r="A45" s="18"/>
      <c r="B45" s="31" t="s">
        <v>97</v>
      </c>
      <c r="C45" s="38">
        <v>10</v>
      </c>
      <c r="D45" s="49"/>
    </row>
    <row r="46" spans="1:8" ht="30.75" thickBot="1" x14ac:dyDescent="0.3">
      <c r="A46" s="18"/>
      <c r="B46" s="31" t="s">
        <v>101</v>
      </c>
      <c r="C46" s="38">
        <v>5</v>
      </c>
      <c r="D46" s="49"/>
    </row>
    <row r="47" spans="1:8" ht="15.75" thickBot="1" x14ac:dyDescent="0.3">
      <c r="A47" s="18"/>
      <c r="B47" s="31" t="s">
        <v>102</v>
      </c>
      <c r="C47" s="39">
        <v>0</v>
      </c>
      <c r="D47" s="49"/>
      <c r="H47" s="26">
        <v>0</v>
      </c>
    </row>
    <row r="48" spans="1:8" ht="23.45" customHeight="1" thickBot="1" x14ac:dyDescent="0.3">
      <c r="A48" s="17">
        <v>9</v>
      </c>
      <c r="B48" s="17" t="s">
        <v>32</v>
      </c>
      <c r="C48" s="18"/>
    </row>
    <row r="49" spans="1:8" ht="15.75" thickBot="1" x14ac:dyDescent="0.3">
      <c r="A49" s="18"/>
      <c r="B49" s="19" t="s">
        <v>24</v>
      </c>
      <c r="C49" s="20" t="s">
        <v>5</v>
      </c>
      <c r="D49" s="28" t="s">
        <v>45</v>
      </c>
    </row>
    <row r="50" spans="1:8" ht="15.75" thickBot="1" x14ac:dyDescent="0.3">
      <c r="A50" s="18"/>
      <c r="B50" s="31" t="s">
        <v>30</v>
      </c>
      <c r="C50" s="38">
        <v>10</v>
      </c>
      <c r="D50" s="48">
        <v>10</v>
      </c>
      <c r="H50" s="26">
        <v>10</v>
      </c>
    </row>
    <row r="51" spans="1:8" ht="15.75" thickBot="1" x14ac:dyDescent="0.3">
      <c r="A51" s="18"/>
      <c r="B51" s="31" t="s">
        <v>31</v>
      </c>
      <c r="C51" s="38">
        <v>5</v>
      </c>
      <c r="D51" s="50"/>
      <c r="H51" s="26">
        <v>5</v>
      </c>
    </row>
    <row r="52" spans="1:8" x14ac:dyDescent="0.25">
      <c r="A52" s="18"/>
      <c r="B52" s="40"/>
      <c r="C52" s="41"/>
    </row>
    <row r="53" spans="1:8" ht="15.75" thickBot="1" x14ac:dyDescent="0.3"/>
    <row r="54" spans="1:8" ht="15.75" thickBot="1" x14ac:dyDescent="0.3">
      <c r="B54" s="27" t="s">
        <v>42</v>
      </c>
      <c r="C54" s="29">
        <f>C50+C44+C40+C34+C28+C24+C18+C13+C8</f>
        <v>100</v>
      </c>
      <c r="D54" s="28">
        <f>D50+D44+D40+D34+D28+D24+D18+D13+D8</f>
        <v>80</v>
      </c>
    </row>
    <row r="55" spans="1:8" ht="15.75" thickBot="1" x14ac:dyDescent="0.3">
      <c r="B55" s="42" t="s">
        <v>43</v>
      </c>
      <c r="C55" s="65">
        <v>50</v>
      </c>
      <c r="D55" s="66"/>
    </row>
    <row r="56" spans="1:8" ht="15.75" customHeight="1" x14ac:dyDescent="0.25">
      <c r="B56" s="43" t="s">
        <v>83</v>
      </c>
      <c r="C56" s="62" t="str">
        <f>IF(D54&gt;=90,"NSB1",IF(D54&gt;=75,"NSB 2",IF(D54&gt;=65,"NSB 3",IF(D54&gt;=55,"NSB 4",IF(D54&gt;=45,"NSB 5",IF(D54&gt;=35,"NSB 6",IF(D54&gt;=25,"NSB 7",IF(D54&lt;25,"NSB 8"))))))))</f>
        <v>NSB 2</v>
      </c>
      <c r="D56" s="63"/>
    </row>
    <row r="57" spans="1:8" x14ac:dyDescent="0.25">
      <c r="B57" s="44" t="s">
        <v>41</v>
      </c>
      <c r="C57" s="61" t="str">
        <f>IF(OR(D34=0,D24=0,D13=0, D54&lt;C55),"To be rejected","Acceptable")</f>
        <v>Acceptable</v>
      </c>
      <c r="D57" s="61"/>
    </row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x14ac:dyDescent="0.25"/>
  </sheetData>
  <mergeCells count="16">
    <mergeCell ref="D24:D25"/>
    <mergeCell ref="C57:D57"/>
    <mergeCell ref="C56:D56"/>
    <mergeCell ref="A1:D1"/>
    <mergeCell ref="A2:D2"/>
    <mergeCell ref="C55:D55"/>
    <mergeCell ref="B3:D3"/>
    <mergeCell ref="B4:D4"/>
    <mergeCell ref="D8:D10"/>
    <mergeCell ref="D13:D15"/>
    <mergeCell ref="D18:D21"/>
    <mergeCell ref="D50:D51"/>
    <mergeCell ref="D44:D47"/>
    <mergeCell ref="D40:D41"/>
    <mergeCell ref="D34:D37"/>
    <mergeCell ref="D28:D31"/>
  </mergeCells>
  <conditionalFormatting sqref="C56">
    <cfRule type="cellIs" dxfId="4" priority="3" operator="equal">
      <formula>"Ok"</formula>
    </cfRule>
    <cfRule type="cellIs" dxfId="3" priority="4" operator="equal">
      <formula>"Below the Benchmark"</formula>
    </cfRule>
    <cfRule type="cellIs" dxfId="2" priority="5" operator="equal">
      <formula>"Below the Benchmark"</formula>
    </cfRule>
  </conditionalFormatting>
  <conditionalFormatting sqref="C57:D57">
    <cfRule type="containsText" dxfId="1" priority="1" operator="containsText" text="acceptable">
      <formula>NOT(ISERROR(SEARCH("acceptable",C57)))</formula>
    </cfRule>
    <cfRule type="containsText" dxfId="0" priority="2" operator="containsText" text="to be ">
      <formula>NOT(ISERROR(SEARCH("to be ",C57)))</formula>
    </cfRule>
  </conditionalFormatting>
  <dataValidations count="9">
    <dataValidation type="list" allowBlank="1" showInputMessage="1" showErrorMessage="1" sqref="D8:D10">
      <formula1>$C$8:$C$10</formula1>
    </dataValidation>
    <dataValidation type="list" allowBlank="1" showInputMessage="1" showErrorMessage="1" sqref="C13:D15">
      <formula1>$C$13:$C$15</formula1>
    </dataValidation>
    <dataValidation type="list" allowBlank="1" showInputMessage="1" showErrorMessage="1" sqref="D18:D21">
      <formula1>$C$18:$C$21</formula1>
    </dataValidation>
    <dataValidation type="list" allowBlank="1" showInputMessage="1" showErrorMessage="1" sqref="D28:D31">
      <formula1>$H$21:$H$24</formula1>
    </dataValidation>
    <dataValidation type="list" allowBlank="1" showInputMessage="1" showErrorMessage="1" sqref="D40:D41">
      <formula1>$H$40:$H$41</formula1>
    </dataValidation>
    <dataValidation type="list" allowBlank="1" showInputMessage="1" showErrorMessage="1" sqref="D50:D51">
      <formula1>$H$50:$H$51</formula1>
    </dataValidation>
    <dataValidation type="list" allowBlank="1" showInputMessage="1" showErrorMessage="1" sqref="D34:D37">
      <formula1>$C$34:$C$37</formula1>
    </dataValidation>
    <dataValidation type="list" allowBlank="1" showInputMessage="1" showErrorMessage="1" sqref="D44:D47">
      <formula1>$C$44:$C$47</formula1>
    </dataValidation>
    <dataValidation type="list" allowBlank="1" showInputMessage="1" showErrorMessage="1" sqref="D24">
      <formula1>$C$24:$C$25</formula1>
    </dataValidation>
  </dataValidations>
  <pageMargins left="0.7" right="0.7" top="0.75" bottom="0.75" header="0.3" footer="0.3"/>
  <pageSetup paperSize="9" scale="7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63</v>
      </c>
    </row>
    <row r="2" spans="1:2" x14ac:dyDescent="0.25">
      <c r="B2" t="s">
        <v>61</v>
      </c>
    </row>
    <row r="3" spans="1:2" x14ac:dyDescent="0.25">
      <c r="B3" t="s">
        <v>62</v>
      </c>
    </row>
    <row r="4" spans="1:2" x14ac:dyDescent="0.25">
      <c r="B4" t="s">
        <v>77</v>
      </c>
    </row>
    <row r="6" spans="1:2" x14ac:dyDescent="0.25">
      <c r="A6" t="s">
        <v>64</v>
      </c>
    </row>
    <row r="7" spans="1:2" x14ac:dyDescent="0.25">
      <c r="B7" t="s">
        <v>65</v>
      </c>
    </row>
    <row r="8" spans="1:2" x14ac:dyDescent="0.25">
      <c r="B8" t="s">
        <v>66</v>
      </c>
    </row>
    <row r="9" spans="1:2" x14ac:dyDescent="0.25">
      <c r="B9" t="s">
        <v>67</v>
      </c>
    </row>
    <row r="11" spans="1:2" x14ac:dyDescent="0.25">
      <c r="A11" t="s">
        <v>81</v>
      </c>
    </row>
    <row r="12" spans="1:2" x14ac:dyDescent="0.25">
      <c r="B12" t="s">
        <v>65</v>
      </c>
    </row>
    <row r="13" spans="1:2" x14ac:dyDescent="0.25">
      <c r="B13" t="s">
        <v>66</v>
      </c>
    </row>
    <row r="14" spans="1:2" x14ac:dyDescent="0.25">
      <c r="B14" t="s">
        <v>67</v>
      </c>
    </row>
    <row r="15" spans="1:2" x14ac:dyDescent="0.25">
      <c r="B15" t="s">
        <v>82</v>
      </c>
    </row>
    <row r="17" spans="1:2" x14ac:dyDescent="0.25">
      <c r="A17" t="s">
        <v>68</v>
      </c>
    </row>
    <row r="18" spans="1:2" x14ac:dyDescent="0.25">
      <c r="B18" t="s">
        <v>69</v>
      </c>
    </row>
    <row r="19" spans="1:2" x14ac:dyDescent="0.25">
      <c r="B19" t="s">
        <v>73</v>
      </c>
    </row>
    <row r="20" spans="1:2" x14ac:dyDescent="0.25">
      <c r="B20" t="s">
        <v>70</v>
      </c>
    </row>
    <row r="21" spans="1:2" x14ac:dyDescent="0.25">
      <c r="B21" t="s">
        <v>72</v>
      </c>
    </row>
    <row r="22" spans="1:2" x14ac:dyDescent="0.25">
      <c r="B22" t="s">
        <v>71</v>
      </c>
    </row>
    <row r="24" spans="1:2" x14ac:dyDescent="0.25">
      <c r="A24" t="s">
        <v>74</v>
      </c>
    </row>
    <row r="25" spans="1:2" x14ac:dyDescent="0.25">
      <c r="B25" t="s">
        <v>75</v>
      </c>
    </row>
    <row r="26" spans="1:2" x14ac:dyDescent="0.25">
      <c r="B26" t="s">
        <v>76</v>
      </c>
    </row>
    <row r="28" spans="1:2" x14ac:dyDescent="0.25">
      <c r="A28" t="s">
        <v>78</v>
      </c>
    </row>
    <row r="29" spans="1:2" x14ac:dyDescent="0.25">
      <c r="B29" t="s">
        <v>79</v>
      </c>
    </row>
    <row r="30" spans="1:2" x14ac:dyDescent="0.25">
      <c r="B30" t="s">
        <v>80</v>
      </c>
    </row>
  </sheetData>
  <sheetProtection sheet="1" objects="1" scenarios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MPOD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413</dc:creator>
  <cp:lastModifiedBy>SAROJ CHAUDHARY</cp:lastModifiedBy>
  <cp:lastPrinted>2022-01-02T09:11:37Z</cp:lastPrinted>
  <dcterms:created xsi:type="dcterms:W3CDTF">2018-10-09T09:51:00Z</dcterms:created>
  <dcterms:modified xsi:type="dcterms:W3CDTF">2025-11-20T15:38:15Z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3ada4e-448b-4689-9b53-cdfe99a249d2_Enabled">
    <vt:lpwstr>true</vt:lpwstr>
  </property>
  <property fmtid="{D5CDD505-2E9C-101B-9397-08002B2CF9AE}" pid="3" name="MSIP_Label_183ada4e-448b-4689-9b53-cdfe99a249d2_SetDate">
    <vt:lpwstr>2025-07-15T06:55:35Z</vt:lpwstr>
  </property>
  <property fmtid="{D5CDD505-2E9C-101B-9397-08002B2CF9AE}" pid="4" name="MSIP_Label_183ada4e-448b-4689-9b53-cdfe99a249d2_Method">
    <vt:lpwstr>Privileged</vt:lpwstr>
  </property>
  <property fmtid="{D5CDD505-2E9C-101B-9397-08002B2CF9AE}" pid="5" name="MSIP_Label_183ada4e-448b-4689-9b53-cdfe99a249d2_Name">
    <vt:lpwstr>Public</vt:lpwstr>
  </property>
  <property fmtid="{D5CDD505-2E9C-101B-9397-08002B2CF9AE}" pid="6" name="MSIP_Label_183ada4e-448b-4689-9b53-cdfe99a249d2_SiteId">
    <vt:lpwstr>fbdb2235-7f50-4509-b407-c58325ec27a8</vt:lpwstr>
  </property>
  <property fmtid="{D5CDD505-2E9C-101B-9397-08002B2CF9AE}" pid="7" name="MSIP_Label_183ada4e-448b-4689-9b53-cdfe99a249d2_ActionId">
    <vt:lpwstr>c73d5690-c64a-497b-800e-23776ba88c7b</vt:lpwstr>
  </property>
  <property fmtid="{D5CDD505-2E9C-101B-9397-08002B2CF9AE}" pid="8" name="MSIP_Label_183ada4e-448b-4689-9b53-cdfe99a249d2_ContentBits">
    <vt:lpwstr>0</vt:lpwstr>
  </property>
  <property fmtid="{D5CDD505-2E9C-101B-9397-08002B2CF9AE}" pid="9" name="MSIP_Label_183ada4e-448b-4689-9b53-cdfe99a249d2_Tag">
    <vt:lpwstr>10, 0, 1, 1</vt:lpwstr>
  </property>
</Properties>
</file>